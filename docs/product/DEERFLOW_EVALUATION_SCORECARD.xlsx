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db79321a6348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" sheetId="1" r:id="Rf53485809d7c40bc"/>
    <x:sheet xmlns:r="http://schemas.openxmlformats.org/officeDocument/2006/relationships" name="评测记录" sheetId="2" r:id="Rbf21f715c4744f1f"/>
    <x:sheet xmlns:r="http://schemas.openxmlformats.org/officeDocument/2006/relationships" name="评分标准" sheetId="3" r:id="R2ef8146c7792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0.0%"/>
    <x:numFmt numFmtId="202" formatCode="0.0000"/>
    <x:numFmt numFmtId="203" formatCode="0.000000"/>
    <x:numFmt numFmtId="204" formatCode="0%"/>
  </x:numFmts>
  <x:fonts count="9">
    <x:font>
      <x:sz val="11"/>
      <x:name val="Carlito"/>
    </x:font>
    <x:font>
      <x:sz val="10"/>
      <x:name val="Microsoft YaHei"/>
    </x:font>
    <x:font>
      <x:b/>
      <x:sz val="18"/>
      <x:color rgb="FFFFFFFF"/>
      <x:name val="Microsoft YaHei"/>
    </x:font>
    <x:font>
      <x:b/>
      <x:sz val="10"/>
      <x:color rgb="FF7A4B00"/>
      <x:name val="Microsoft YaHei"/>
    </x:font>
    <x:font>
      <x:b/>
      <x:sz val="10"/>
      <x:color rgb="FF17324D"/>
      <x:name val="Microsoft YaHei"/>
    </x:font>
    <x:font>
      <x:b/>
      <x:sz val="16"/>
      <x:color rgb="FF17324D"/>
      <x:name val="Microsoft YaHei"/>
    </x:font>
    <x:font>
      <x:b/>
      <x:sz val="10"/>
      <x:color rgb="FFFFFFFF"/>
      <x:name val="Microsoft YaHei"/>
    </x:font>
    <x:font>
      <x:b/>
      <x:sz val="16"/>
      <x:color rgb="FFFFFFFF"/>
      <x:name val="Microsoft YaHei"/>
    </x:font>
    <x:font>
      <x:b/>
      <x:sz val="14"/>
      <x:color rgb="FFFFFFFF"/>
      <x:name val="Microsoft YaHei"/>
    </x:font>
  </x:fonts>
  <x:fills count="13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4CC"/>
      </x:patternFill>
    </x:fill>
    <x:fill>
      <x:patternFill patternType="solid">
        <x:fgColor rgb="FFDCEAF7"/>
      </x:patternFill>
    </x:fill>
    <x:fill>
      <x:patternFill patternType="solid">
        <x:fgColor rgb="FFF7FAFC"/>
      </x:patternFill>
    </x:fill>
    <x:fill>
      <x:patternFill patternType="solid">
        <x:fgColor rgb="FFEEF4FA"/>
      </x:patternFill>
    </x:fill>
    <x:fill>
      <x:patternFill patternType="solid">
        <x:fgColor rgb="FF275D85"/>
      </x:patternFill>
    </x:fill>
    <x:fill>
      <x:patternFill patternType="solid">
        <x:fgColor rgb="FFFFF9E8"/>
      </x:patternFill>
    </x:fill>
    <x:fill>
      <x:patternFill patternType="solid">
        <x:fgColor rgb="FF17324D"/>
      </x:patternFill>
    </x:fill>
    <x:fill>
      <x:patternFill patternType="solid">
        <x:fgColor rgb="FF275D85"/>
      </x:patternFill>
    </x:fill>
    <x:fill>
      <x:patternFill patternType="solid">
        <x:fgColor rgb="FFFFF9E8"/>
      </x:patternFill>
    </x:fill>
    <x:fill>
      <x:patternFill patternType="solid">
        <x:fgColor rgb="FFEEF4FA"/>
      </x:patternFill>
    </x:fill>
  </x:fills>
  <x:borders count="4">
    <x:border/>
    <x:border>
      <x:left style="thin">
        <x:color rgb="FFC9D5E2"/>
      </x:left>
      <x:right style="thin">
        <x:color rgb="FFC9D5E2"/>
      </x:right>
      <x:top style="thin">
        <x:color rgb="FFC9D5E2"/>
      </x:top>
      <x:bottom style="thin">
        <x:color rgb="FFC9D5E2"/>
      </x:bottom>
    </x:border>
    <x:border>
      <x:left style="thin">
        <x:color rgb="FFD9E1E8"/>
      </x:left>
      <x:right style="thin">
        <x:color rgb="FFD9E1E8"/>
      </x:right>
      <x:top style="thin">
        <x:color rgb="FFD9E1E8"/>
      </x:top>
      <x:bottom style="thin">
        <x:color rgb="FFD9E1E8"/>
      </x:bottom>
    </x:border>
    <x:border>
      <x:left style="thin">
        <x:color rgb="FFB8C7D6"/>
      </x:left>
      <x:right style="thin">
        <x:color rgb="FFB8C7D6"/>
      </x:right>
      <x:top style="thin">
        <x:color rgb="FFB8C7D6"/>
      </x:top>
      <x:bottom style="thin">
        <x:color rgb="FFB8C7D6"/>
      </x:bottom>
    </x:border>
  </x:borders>
  <x:cellStyleXfs count="1">
    <x:xf numFmtId="0" fontId="0" fillId="0" borderId="0"/>
  </x:cellStyleXfs>
  <x:cellXfs count="6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horizontal="center"/>
    </x:xf>
    <x:xf numFmtId="0" fontId="5" fillId="5" borderId="1" xfId="0" applyNumberFormat="1" applyFont="1" applyFill="1" applyBorder="1" applyAlignment="1">
      <x:alignment horizontal="center" vertical="center"/>
    </x:xf>
    <x:xf numFmtId="200" fontId="5" fillId="5" borderId="1" xfId="0" applyNumberFormat="1" applyFont="1" applyFill="1" applyBorder="1" applyAlignment="1">
      <x:alignment horizontal="center" vertical="center"/>
    </x:xf>
    <x:xf numFmtId="201" fontId="5" fillId="5" borderId="1" xfId="0" applyNumberFormat="1" applyFont="1" applyFill="1" applyBorder="1" applyAlignment="1">
      <x:alignment horizontal="center" vertical="center"/>
    </x:xf>
    <x:xf numFmtId="202" fontId="5" fillId="5" borderId="1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203" fontId="1" fillId="6" borderId="1" xfId="0" applyNumberFormat="1" applyFont="1" applyFill="1" applyBorder="1"/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3" xfId="0" applyNumberFormat="1" applyFont="1" applyFill="1" applyBorder="1"/>
    <x:xf numFmtId="0" fontId="6" fillId="7" borderId="3" xfId="0" applyNumberFormat="1" applyFont="1" applyFill="1" applyBorder="1" applyAlignment="1">
      <x:alignment wrapText="1"/>
    </x:xf>
    <x:xf numFmtId="0" fontId="6" fillId="7" borderId="3" xfId="0" applyNumberFormat="1" applyFont="1" applyFill="1" applyBorder="1" applyAlignment="1">
      <x:alignment horizontal="center" wrapText="1"/>
    </x:xf>
    <x:xf numFmtId="0" fontId="6" fillId="7" borderId="3" xfId="0" applyNumberFormat="1" applyFont="1" applyFill="1" applyBorder="1" applyAlignment="1">
      <x:alignment horizontal="center" vertical="center" wrapText="1"/>
    </x:xf>
    <x:xf numFmtId="0" fontId="1" fillId="8" borderId="2" xfId="0" applyNumberFormat="1" applyFont="1" applyFill="1" applyBorder="1" applyAlignment="1">
      <x:alignment vertical="top" wrapText="1"/>
    </x:xf>
    <x:xf numFmtId="0" fontId="1" fillId="6" borderId="2" xfId="0" applyNumberFormat="1" applyFont="1" applyFill="1" applyBorder="1" applyAlignment="1">
      <x:alignment vertical="top" wrapText="1"/>
    </x:xf>
    <x:xf numFmtId="203" fontId="1" fillId="6" borderId="2" xfId="0" applyNumberFormat="1" applyFont="1" applyFill="1" applyBorder="1" applyAlignment="1">
      <x:alignment vertical="top" wrapText="1"/>
    </x:xf>
    <x:xf numFmtId="200" fontId="1" fillId="6" borderId="2" xfId="0" applyNumberFormat="1" applyFont="1" applyFill="1" applyBorder="1" applyAlignment="1">
      <x:alignment vertical="top" wrapText="1"/>
    </x:xf>
    <x:xf numFmtId="0" fontId="1" fillId="8" borderId="2" xfId="0" applyNumberFormat="1" applyFont="1" applyFill="1" applyBorder="1" applyAlignment="1">
      <x:alignment horizontal="center" vertical="top" wrapText="1"/>
    </x:xf>
    <x:xf numFmtId="0" fontId="1" fillId="6" borderId="2" xfId="0" applyNumberFormat="1" applyFont="1" applyFill="1" applyBorder="1" applyAlignment="1">
      <x:alignment horizontal="center" vertical="top" wrapText="1"/>
    </x:xf>
    <x:xf numFmtId="203" fontId="1" fillId="6" borderId="2" xfId="0" applyNumberFormat="1" applyFont="1" applyFill="1" applyBorder="1" applyAlignment="1">
      <x:alignment horizontal="center" vertical="top" wrapText="1"/>
    </x:xf>
    <x:xf numFmtId="200" fontId="1" fillId="6" borderId="2" xfId="0" applyNumberFormat="1" applyFont="1" applyFill="1" applyBorder="1" applyAlignment="1">
      <x:alignment horizontal="center" vertical="top" wrapText="1"/>
    </x:xf>
    <x:xf numFmtId="0" fontId="6" fillId="7" borderId="3" xfId="0" applyNumberFormat="1" applyFont="1" applyFill="1" applyBorder="1" applyAlignment="1">
      <x:alignment horizontal="center"/>
    </x:xf>
    <x:xf numFmtId="204" fontId="1" fillId="0" borderId="2" xfId="0" applyNumberFormat="1" applyFont="1" applyFill="1" applyBorder="1" applyAlignment="1">
      <x:alignment vertical="top" wrapText="1"/>
    </x:xf>
    <x:xf numFmtId="0" fontId="1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/>
    <x:xf numFmtId="0" fontId="6" fillId="10" borderId="0" xfId="0" applyNumberFormat="1" applyFont="1" applyFill="1" applyBorder="1"/>
    <x:xf numFmtId="0" fontId="6" fillId="10" borderId="3" xfId="0" applyNumberFormat="1" applyFont="1" applyFill="1" applyBorder="1"/>
    <x:xf numFmtId="0" fontId="6" fillId="10" borderId="3" xfId="0" applyNumberFormat="1" applyFont="1" applyFill="1" applyBorder="1" applyAlignment="1">
      <x:alignment horizontal="center"/>
    </x:xf>
    <x:xf numFmtId="0" fontId="6" fillId="10" borderId="3" xfId="0" applyNumberFormat="1" applyFont="1" applyFill="1" applyBorder="1" applyAlignment="1">
      <x:alignment horizontal="center" vertical="center"/>
    </x:xf>
    <x:xf numFmtId="0" fontId="1" fillId="11" borderId="2" xfId="0" applyNumberFormat="1" applyFont="1" applyFill="1" applyBorder="1" applyAlignment="1">
      <x:alignment vertical="top" wrapText="1"/>
    </x:xf>
    <x:xf numFmtId="0" fontId="1" fillId="12" borderId="2" xfId="0" applyNumberFormat="1" applyFont="1" applyFill="1" applyBorder="1" applyAlignment="1">
      <x:alignment vertical="top" wrapText="1"/>
    </x:xf>
    <x:xf numFmtId="203" fontId="1" fillId="12" borderId="2" xfId="0" applyNumberFormat="1" applyFont="1" applyFill="1" applyBorder="1" applyAlignment="1">
      <x:alignment vertical="top" wrapText="1"/>
    </x:xf>
    <x:xf numFmtId="200" fontId="1" fillId="12" borderId="2" xfId="0" applyNumberFormat="1" applyFont="1" applyFill="1" applyBorder="1" applyAlignment="1">
      <x:alignment vertical="top" wrapText="1"/>
    </x:xf>
    <x:xf numFmtId="0" fontId="1" fillId="11" borderId="2" xfId="0" applyNumberFormat="1" applyFont="1" applyFill="1" applyBorder="1" applyAlignment="1">
      <x:alignment horizontal="center" vertical="top" wrapText="1"/>
    </x:xf>
    <x:xf numFmtId="0" fontId="1" fillId="12" borderId="2" xfId="0" applyNumberFormat="1" applyFont="1" applyFill="1" applyBorder="1" applyAlignment="1">
      <x:alignment horizontal="center" vertical="top" wrapText="1"/>
    </x:xf>
    <x:xf numFmtId="203" fontId="1" fillId="12" borderId="2" xfId="0" applyNumberFormat="1" applyFont="1" applyFill="1" applyBorder="1" applyAlignment="1">
      <x:alignment horizontal="center" vertical="top" wrapText="1"/>
    </x:xf>
    <x:xf numFmtId="200" fontId="1" fillId="12" borderId="2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0F5132"/>
      </x:font>
      <x:fill>
        <x:patternFill>
          <x:bgColor rgb="FFD1E7DD"/>
        </x:patternFill>
      </x:fill>
    </x:dxf>
    <x:dxf>
      <x:font>
        <x:b/>
        <x:color rgb="FF842029"/>
      </x:font>
      <x:fill>
        <x:patternFill>
          <x:bgColor rgb="FFF8D7DA"/>
        </x:patternFill>
      </x:fill>
    </x:dxf>
    <x:dxf>
      <x:font>
        <x:b/>
        <x:color rgb="FF664D03"/>
      </x:font>
      <x:fill>
        <x:patternFill>
          <x:bgColor rgb="FFFFF3C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d431ea10464bcb" /><Relationship Type="http://schemas.openxmlformats.org/officeDocument/2006/relationships/theme" Target="/xl/theme/theme1.xml" Id="Re8a10cb725cc48b3" /><Relationship Type="http://schemas.openxmlformats.org/officeDocument/2006/relationships/sharedStrings" Target="/xl/sharedStrings.xml" Id="Rc54d4c5425ca4590" /><Relationship Type="http://schemas.openxmlformats.org/officeDocument/2006/relationships/worksheet" Target="/xl/worksheets/sheet1.xml" Id="Rf53485809d7c40bc" /><Relationship Type="http://schemas.openxmlformats.org/officeDocument/2006/relationships/worksheet" Target="/xl/worksheets/sheet2.xml" Id="Rbf21f715c4744f1f" /><Relationship Type="http://schemas.openxmlformats.org/officeDocument/2006/relationships/worksheet" Target="/xl/worksheets/sheet3.xml" Id="R2ef8146c7792491c" /></Relationships>
</file>

<file path=xl/tables/table1.xml><?xml version="1.0" encoding="utf-8"?>
<x:table xmlns:x="http://schemas.openxmlformats.org/spreadsheetml/2006/main" id="1" name="EvaluationTasks" displayName="EvaluationTasks" ref="A5:W11" headerRowCount="1" totalsRowCount="0" totalsRowShown="0">
  <x:tableColumns count="23">
    <x:tableColumn id="1" name="任务ID"/>
    <x:tableColumn id="2" name="用户场景"/>
    <x:tableColumn id="3" name="任务指令"/>
    <x:tableColumn id="4" name="预期产物"/>
    <x:tableColumn id="5" name="重点风险"/>
    <x:tableColumn id="6" name="状态"/>
    <x:tableColumn id="7" name="来源正确性"/>
    <x:tableColumn id="8" name="引用覆盖"/>
    <x:tableColumn id="9" name="分析完整性"/>
    <x:tableColumn id="10" name="指令遵循"/>
    <x:tableColumn id="11" name="产品可用性"/>
    <x:tableColumn id="12" name="高风险无依据结论数"/>
    <x:tableColumn id="13" name="人工复核"/>
    <x:tableColumn id="14" name="输入Tokens"/>
    <x:tableColumn id="15" name="输出Tokens"/>
    <x:tableColumn id="16" name="总Tokens"/>
    <x:tableColumn id="17" name="延迟（秒）"/>
    <x:tableColumn id="18" name="估算成本（元）"/>
    <x:tableColumn id="19" name="加权得分"/>
    <x:tableColumn id="20" name="发布闸门"/>
    <x:tableColumn id="21" name="Badcase摘要"/>
    <x:tableColumn id="22" name="证据路径"/>
    <x:tableColumn id="23" name="复核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c2dc99f63004fc9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8" hidden="0" customWidth="1"/>
    <x:col min="2" max="2" width="28" hidden="0" customWidth="1"/>
    <x:col min="3" max="3" width="28" hidden="0" customWidth="1"/>
    <x:col min="4" max="4" width="28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</x:cols>
  <x:sheetData>
    <x:row r="1" ht="34" customHeight="1">
      <x:c r="A1" s="4" t="str">
        <x:v>Product Intelligence Agent 评测概览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30" customHeight="1">
      <x:c r="A2" s="7" t="str">
        <x:v>本表记录 5 个合成题型及其回归运行，不代表真实用户、真实客户或生产数据。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0" t="str">
        <x:v>评测记录数</x:v>
      </x:c>
      <x:c r="B4" s="10" t="str"/>
      <x:c r="C4" s="10" t="str">
        <x:v>已执行</x:v>
      </x:c>
      <x:c r="D4" s="10" t="str"/>
      <x:c r="E4" s="10" t="str">
        <x:v>平均得分</x:v>
      </x:c>
      <x:c r="F4" s="10" t="str"/>
      <x:c r="G4" s="10" t="str">
        <x:v>通过率</x:v>
      </x:c>
      <x:c r="H4" s="10" t="str"/>
      <x:c r="I4" s="10" t="str">
        <x:v>累计 Tokens</x:v>
      </x:c>
      <x:c r="J4" s="10" t="str"/>
      <x:c r="K4" s="10" t="str">
        <x:v>估算成本（元）</x:v>
      </x:c>
      <x:c r="L4" s="10" t="str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4" customHeight="1">
      <x:c r="A5" s="15" t="n">
        <x:f>COUNTA('评测记录'!$A$6:$A$11)</x:f>
        <x:v>6</x:v>
      </x:c>
      <x:c r="B5" s="15"/>
      <x:c r="C5" s="15" t="n">
        <x:f>COUNTIFS('评测记录'!$F$6:$F$11,"已执行")</x:f>
        <x:v>2</x:v>
      </x:c>
      <x:c r="D5" s="15"/>
      <x:c r="E5" s="16" t="n">
        <x:f>IF(COUNT('评测记录'!$S$6:$S$11)=0,0,AVERAGE('评测记录'!$S$6:$S$11))</x:f>
        <x:v>73</x:v>
      </x:c>
      <x:c r="F5" s="16"/>
      <x:c r="G5" s="17" t="n">
        <x:f>IF(COUNTIFS('评测记录'!$F$6:$F$11,"已执行")=0,0,COUNTIFS('评测记录'!$T$6:$T$11,"通过")/COUNTIFS('评测记录'!$F$6:$F$11,"已执行"))</x:f>
        <x:v>0</x:v>
      </x:c>
      <x:c r="H5" s="17"/>
      <x:c r="I5" s="15" t="n">
        <x:f>SUM('评测记录'!$P$6:$P$11)</x:f>
        <x:v>76242</x:v>
      </x:c>
      <x:c r="J5" s="15"/>
      <x:c r="K5" s="18" t="n">
        <x:f>SUM('评测记录'!$R$6:$R$11)</x:f>
        <x:v>0.164736</x:v>
      </x:c>
      <x:c r="L5" s="18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>
      <x:c r="A8" s="20" t="str">
        <x:v>费用参数</x:v>
      </x:c>
      <x:c r="B8" s="20" t="str">
        <x:v>输入单价（元/百万 Tokens）</x:v>
      </x:c>
      <x:c r="C8" s="20" t="str">
        <x:v>输出单价（元/百万 Tokens）</x:v>
      </x:c>
      <x:c r="D8" s="20" t="str">
        <x:v>说明</x:v>
      </x:c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>
      <x:c r="A9" s="22" t="str">
        <x:v>DeepSeek Flash</x:v>
      </x:c>
      <x:c r="B9" s="24" t="n">
        <x:v>2</x:v>
      </x:c>
      <x:c r="C9" s="24" t="n">
        <x:v>8</x:v>
      </x:c>
      <x:c r="D9" s="22" t="str">
        <x:v>2026-09-18 核对的高峰未缓存价格；可按实际账单调整</x:v>
      </x:c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>
      <x:c r="A11" s="1"/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>
      <x:c r="A12" s="20" t="str">
        <x:v>使用顺序</x:v>
      </x:c>
      <x:c r="B12" s="20" t="str">
        <x:v>动作</x:v>
      </x:c>
      <x:c r="C12" s="20" t="str">
        <x:v>目的</x:v>
      </x:c>
      <x:c r="D12" s="20" t="str">
        <x:v>注意事项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>
      <x:c r="A13" s="28" t="n">
        <x:v>1</x:v>
      </x:c>
      <x:c r="B13" s="27" t="str">
        <x:v>先审题，不执行模型</x:v>
      </x:c>
      <x:c r="C13" s="27" t="str">
        <x:v>确认任务与评分标准一致</x:v>
      </x:c>
      <x:c r="D13" s="27" t="str">
        <x:v>不要临时改变指标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>
      <x:c r="A14" s="28" t="n">
        <x:v>2</x:v>
      </x:c>
      <x:c r="B14" s="27" t="str">
        <x:v>只运行一条试验任务</x:v>
      </x:c>
      <x:c r="C14" s="27" t="str">
        <x:v>控制费用并验证流程</x:v>
      </x:c>
      <x:c r="D14" s="27" t="str">
        <x:v>记录模型、时间、Token 和证据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>
      <x:c r="A15" s="28" t="n">
        <x:v>3</x:v>
      </x:c>
      <x:c r="B15" s="27" t="str">
        <x:v>人工评分并登记 Badcase</x:v>
      </x:c>
      <x:c r="C15" s="27" t="str">
        <x:v>识别失败原因</x:v>
      </x:c>
      <x:c r="D15" s="27" t="str">
        <x:v>自动分数不能替代高风险复核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>
      <x:c r="A16" s="28" t="n">
        <x:v>4</x:v>
      </x:c>
      <x:c r="B16" s="27" t="str">
        <x:v>通过后再扩展题集</x:v>
      </x:c>
      <x:c r="C16" s="27" t="str">
        <x:v>避免错误规模化</x:v>
      </x:c>
      <x:c r="D16" s="27" t="str">
        <x:v>合成通过不等于真实用户价值成立</x:v>
      </x:c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>
      <x:c r="A18" s="20" t="str">
        <x:v>当前阶段结论</x:v>
      </x:c>
      <x:c r="B18" s="20" t="str">
        <x:v>已验证</x:v>
      </x:c>
      <x:c r="C18" s="20" t="str">
        <x:v>尚未验证</x:v>
      </x:c>
      <x:c r="D18" s="20" t="str">
        <x:v>产品决策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 ht="72" customHeight="1">
      <x:c r="A19" s="27" t="str">
        <x:v>T001 v2 回归完成</x:v>
      </x:c>
      <x:c r="B19" s="27" t="str">
        <x:v>质量门禁改善了时效标注、结构、成本和长度；得分由 67 升至 79</x:v>
      </x:c>
      <x:c r="C19" s="27" t="str">
        <x:v>仍遗漏模型质量限制，并出现无依据的 Pro $200 暂停注册前提</x:v>
      </x:c>
      <x:c r="D19" s="27" t="str">
        <x:v>保持需改进，不扩展 T002；先修正未知项与限制提取规则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</x:sheetData>
  <x:mergeCells>
    <x:mergeCell ref="A1:L1"/>
    <x:mergeCell ref="A2:L2"/>
    <x:mergeCell ref="A5:B5"/>
    <x:mergeCell ref="C5:D5"/>
    <x:mergeCell ref="E5:F5"/>
    <x:mergeCell ref="G5:H5"/>
    <x:mergeCell ref="I5:J5"/>
    <x:mergeCell ref="K5:L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75D85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10" hidden="0" customWidth="1"/>
    <x:col min="2" max="2" width="24" hidden="0" customWidth="1"/>
    <x:col min="3" max="3" width="58" hidden="0" customWidth="1"/>
    <x:col min="4" max="4" width="28" hidden="0" customWidth="1"/>
    <x:col min="5" max="5" width="28" hidden="0" customWidth="1"/>
    <x:col min="6" max="6" width="12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8" hidden="0" customWidth="1"/>
    <x:col min="13" max="13" width="14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4" hidden="0" customWidth="1"/>
    <x:col min="19" max="19" width="14" hidden="0" customWidth="1"/>
    <x:col min="20" max="20" width="16" hidden="0" customWidth="1"/>
    <x:col min="21" max="21" width="28" hidden="0" customWidth="1"/>
    <x:col min="22" max="22" width="28" hidden="0" customWidth="1"/>
    <x:col min="23" max="23" width="28" hidden="0" customWidth="1"/>
  </x:cols>
  <x:sheetData>
    <x:row r="1" ht="32" customHeight="1">
      <x:c r="A1" s="30" t="str">
        <x:v>DeerFlow 产品情报 Agent：合成任务评测记录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  <x:c r="R1" s="30"/>
      <x:c r="S1" s="30"/>
      <x:c r="T1" s="30"/>
      <x:c r="U1" s="30"/>
      <x:c r="V1" s="30"/>
      <x:c r="W1" s="30"/>
    </x:row>
    <x:row r="2">
      <x:c r="A2" s="7" t="str">
        <x:v>黄色列为人工填写；蓝色列为自动计算。当前包含 5 个合成题型和回归运行，不是生产数据。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</x:row>
    <x:row r="3">
      <x:c r="A3" s="32" t="str">
        <x:v>当前基线</x:v>
      </x:c>
      <x:c r="B3" s="32" t="str">
        <x:v>模型</x:v>
      </x:c>
      <x:c r="C3" s="32" t="str">
        <x:v>DeepSeek Flash</x:v>
      </x:c>
      <x:c r="D3" s="32" t="str">
        <x:v>基础对话成本（元）</x:v>
      </x:c>
      <x:c r="E3" s="33" t="n">
        <x:v>0.017246</x:v>
      </x:c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42" customHeight="1">
      <x:c r="A5" s="39" t="str">
        <x:v>任务ID</x:v>
      </x:c>
      <x:c r="B5" s="39" t="str">
        <x:v>用户场景</x:v>
      </x:c>
      <x:c r="C5" s="39" t="str">
        <x:v>任务指令</x:v>
      </x:c>
      <x:c r="D5" s="39" t="str">
        <x:v>预期产物</x:v>
      </x:c>
      <x:c r="E5" s="39" t="str">
        <x:v>重点风险</x:v>
      </x:c>
      <x:c r="F5" s="39" t="str">
        <x:v>状态</x:v>
      </x:c>
      <x:c r="G5" s="39" t="str">
        <x:v>来源正确性</x:v>
      </x:c>
      <x:c r="H5" s="39" t="str">
        <x:v>引用覆盖</x:v>
      </x:c>
      <x:c r="I5" s="39" t="str">
        <x:v>分析完整性</x:v>
      </x:c>
      <x:c r="J5" s="39" t="str">
        <x:v>指令遵循</x:v>
      </x:c>
      <x:c r="K5" s="39" t="str">
        <x:v>产品可用性</x:v>
      </x:c>
      <x:c r="L5" s="39" t="str">
        <x:v>高风险无依据结论数</x:v>
      </x:c>
      <x:c r="M5" s="39" t="str">
        <x:v>人工复核</x:v>
      </x:c>
      <x:c r="N5" s="39" t="str">
        <x:v>输入Tokens</x:v>
      </x:c>
      <x:c r="O5" s="39" t="str">
        <x:v>输出Tokens</x:v>
      </x:c>
      <x:c r="P5" s="39" t="str">
        <x:v>总Tokens</x:v>
      </x:c>
      <x:c r="Q5" s="39" t="str">
        <x:v>延迟（秒）</x:v>
      </x:c>
      <x:c r="R5" s="39" t="str">
        <x:v>估算成本（元）</x:v>
      </x:c>
      <x:c r="S5" s="39" t="str">
        <x:v>加权得分</x:v>
      </x:c>
      <x:c r="T5" s="39" t="str">
        <x:v>发布闸门</x:v>
      </x:c>
      <x:c r="U5" s="39" t="str">
        <x:v>Badcase摘要</x:v>
      </x:c>
      <x:c r="V5" s="39" t="str">
        <x:v>证据路径</x:v>
      </x:c>
      <x:c r="W5" s="39" t="str">
        <x:v>复核备注</x:v>
      </x:c>
    </x:row>
    <x:row r="6" ht="150" customHeight="1">
      <x:c r="A6" s="28" t="str">
        <x:v>T001</x:v>
      </x:c>
      <x:c r="B6" s="27" t="str">
        <x:v>产品经理核验单个产品能力</x:v>
      </x:c>
      <x:c r="C6" s="27" t="str">
        <x:v>仅使用 ChatGPT 官方公开资料，核验 Deep Research 的核心能力、可用范围、限制和信息更新时间。每项事实提供来源链接与访问日期；无法确认的内容写“未知”，不得自行补全。</x:v>
      </x:c>
      <x:c r="D6" s="27" t="str">
        <x:v>事实清单、限制清单、来源表</x:v>
      </x:c>
      <x:c r="E6" s="27" t="str">
        <x:v>过期信息、无来源事实、把推断写成事实</x:v>
      </x:c>
      <x:c r="F6" s="44" t="str">
        <x:v>已执行</x:v>
      </x:c>
      <x:c r="G6" s="44" t="n">
        <x:v>3</x:v>
      </x:c>
      <x:c r="H6" s="44" t="n">
        <x:v>4</x:v>
      </x:c>
      <x:c r="I6" s="44" t="n">
        <x:v>3</x:v>
      </x:c>
      <x:c r="J6" s="44" t="n">
        <x:v>4</x:v>
      </x:c>
      <x:c r="K6" s="44" t="n">
        <x:v>3</x:v>
      </x:c>
      <x:c r="L6" s="44" t="n">
        <x:v>0</x:v>
      </x:c>
      <x:c r="M6" s="44" t="str">
        <x:v>需修改</x:v>
      </x:c>
      <x:c r="N6" s="44" t="n">
        <x:v>41800</x:v>
      </x:c>
      <x:c r="O6" s="44" t="n">
        <x:v>1142</x:v>
      </x:c>
      <x:c r="P6" s="45" t="n">
        <x:f>IF(COUNT(N6:O6)=0,"",SUM(N6:O6))</x:f>
        <x:v>42942</x:v>
      </x:c>
      <x:c r="Q6" s="44" t="n">
        <x:v>17</x:v>
      </x:c>
      <x:c r="R6" s="46" t="n">
        <x:f>IF(F6&lt;&gt;"已执行","",N6*'概览'!$B$9/1000000+O6*'概览'!$C$9/1000000)</x:f>
        <x:v>0.092736</x:v>
      </x:c>
      <x:c r="S6" s="47" t="n">
        <x:f>IF(COUNT(G6:K6)&lt;5,"",(G6*'评分标准'!$B$4+H6*'评分标准'!$B$5+I6*'评分标准'!$B$6+J6*'评分标准'!$B$7+K6*'评分标准'!$B$8)/5*100)</x:f>
        <x:v>67</x:v>
      </x:c>
      <x:c r="T6" s="45" t="str">
        <x:f>IF(F6&lt;&gt;"已执行","待执行",IF(L6&gt;0,"失败",IF(M6="失败","失败",IF(M6="需修改","需改进",IF(M6&lt;&gt;"通过","待人工复核",IF(S6&gt;=80,"通过","需改进"))))))</x:f>
        <x:v>需改进</x:v>
      </x:c>
      <x:c r="U6" s="40" t="str">
        <x:v>引用均来自官方页面，但把发布时的 o3 与 o4-mini 机制写成当前事实；遗漏同页已披露的幻觉、错误推断、权威来源识别和置信度校准限制；“未找到量化指标”与同页 26.6% 基准信息冲突。</x:v>
      </x:c>
      <x:c r="V6" s="40" t="str">
        <x:v>http://localhost:2026/workspace/chats/bed321a8-d6eb-4a57-9a70-6bbb5f59f3f3
https://openai.com/index/introducing-deep-research/
https://help.openai.com/en/articles/10500283-deep-research-in-chatgpt</x:v>
      </x:c>
      <x:c r="W6" s="40" t="str">
        <x:v>Codex 辅助人工复核，2026-09-19。2 次搜索、3 次查看、2 个唯一官方页面；未见第三方来源或子智能体。主回复输入约 41.8K、输出 1,142；线程顶部总量 43.2K。延迟约 17 秒。正文含 494 个汉字，总字符约 1,287。</x:v>
      </x:c>
    </x:row>
    <x:row r="7" ht="88" customHeight="1">
      <x:c r="A7" s="28" t="str">
        <x:v>T002</x:v>
      </x:c>
      <x:c r="B7" s="27" t="str">
        <x:v>立项前进行竞品能力比较</x:v>
      </x:c>
      <x:c r="C7" s="27" t="str">
        <x:v>对比 ChatGPT Deep Research、Gemini Deep Research、Perplexity Research。仅使用各产品官方资料，按研究流程、来源呈现、文件能力、交付形式、可用范围五个维度建立对比矩阵，并记录访问日期。</x:v>
      </x:c>
      <x:c r="D7" s="27" t="str">
        <x:v>三产品对比矩阵、差异摘要</x:v>
      </x:c>
      <x:c r="E7" s="27" t="str">
        <x:v>口径不一致、强行补齐、错误归因</x:v>
      </x:c>
      <x:c r="F7" s="44" t="str">
        <x:v>未执行</x:v>
      </x:c>
      <x:c r="G7" s="44"/>
      <x:c r="H7" s="44"/>
      <x:c r="I7" s="44"/>
      <x:c r="J7" s="44"/>
      <x:c r="K7" s="44"/>
      <x:c r="L7" s="44" t="n">
        <x:v>0</x:v>
      </x:c>
      <x:c r="M7" s="44" t="str">
        <x:v>待复核</x:v>
      </x:c>
      <x:c r="N7" s="44"/>
      <x:c r="O7" s="44"/>
      <x:c r="P7" s="45" t="str">
        <x:f>IF(COUNT(N7:O7)=0,"",SUM(N7:O7))</x:f>
      </x:c>
      <x:c r="Q7" s="44"/>
      <x:c r="R7" s="46" t="str">
        <x:f>IF(F7&lt;&gt;"已执行","",N7*'概览'!$B$9/1000000+O7*'概览'!$C$9/1000000)</x:f>
      </x:c>
      <x:c r="S7" s="47" t="str">
        <x:f>IF(COUNT(G7:K7)&lt;5,"",(G7*'评分标准'!$B$4+H7*'评分标准'!$B$5+I7*'评分标准'!$B$6+J7*'评分标准'!$B$7+K7*'评分标准'!$B$8)/5*100)</x:f>
      </x:c>
      <x:c r="T7" s="45" t="str">
        <x:f>IF(F7&lt;&gt;"已执行","待执行",IF(L7&gt;0,"失败",IF(M7="失败","失败",IF(M7="需修改","需改进",IF(M7&lt;&gt;"通过","待人工复核",IF(S7&gt;=80,"通过","需改进"))))))</x:f>
        <x:v>待执行</x:v>
      </x:c>
      <x:c r="U7" s="40" t="str"/>
      <x:c r="V7" s="40" t="str"/>
      <x:c r="W7" s="40" t="str"/>
    </x:row>
    <x:row r="8" ht="88" customHeight="1">
      <x:c r="A8" s="28" t="str">
        <x:v>T003</x:v>
      </x:c>
      <x:c r="B8" s="27" t="str">
        <x:v>版本规划前核对价格与可用性</x:v>
      </x:c>
      <x:c r="C8" s="27" t="str">
        <x:v>核对 ChatGPT、Gemini、Perplexity 研究功能在执行当天公开页面披露的套餐、地区或账号限制。所有价格注明币种、计费周期和访问日期；冲突信息需并列展示，不得擅自裁决。</x:v>
      </x:c>
      <x:c r="D8" s="27" t="str">
        <x:v>价格与可用性表、冲突项</x:v>
      </x:c>
      <x:c r="E8" s="27" t="str">
        <x:v>时效性、币种混淆、旧价格</x:v>
      </x:c>
      <x:c r="F8" s="44" t="str">
        <x:v>未执行</x:v>
      </x:c>
      <x:c r="G8" s="44"/>
      <x:c r="H8" s="44"/>
      <x:c r="I8" s="44"/>
      <x:c r="J8" s="44"/>
      <x:c r="K8" s="44"/>
      <x:c r="L8" s="44" t="n">
        <x:v>0</x:v>
      </x:c>
      <x:c r="M8" s="44" t="str">
        <x:v>待复核</x:v>
      </x:c>
      <x:c r="N8" s="44"/>
      <x:c r="O8" s="44"/>
      <x:c r="P8" s="45" t="str">
        <x:f>IF(COUNT(N8:O8)=0,"",SUM(N8:O8))</x:f>
      </x:c>
      <x:c r="Q8" s="44"/>
      <x:c r="R8" s="46" t="str">
        <x:f>IF(F8&lt;&gt;"已执行","",N8*'概览'!$B$9/1000000+O8*'概览'!$C$9/1000000)</x:f>
      </x:c>
      <x:c r="S8" s="47" t="str">
        <x:f>IF(COUNT(G8:K8)&lt;5,"",(G8*'评分标准'!$B$4+H8*'评分标准'!$B$5+I8*'评分标准'!$B$6+J8*'评分标准'!$B$7+K8*'评分标准'!$B$8)/5*100)</x:f>
      </x:c>
      <x:c r="T8" s="45" t="str">
        <x:f>IF(F8&lt;&gt;"已执行","待执行",IF(L8&gt;0,"失败",IF(M8="失败","失败",IF(M8="需修改","需改进",IF(M8&lt;&gt;"通过","待人工复核",IF(S8&gt;=80,"通过","需改进"))))))</x:f>
        <x:v>待执行</x:v>
      </x:c>
      <x:c r="U8" s="40" t="str"/>
      <x:c r="V8" s="40" t="str"/>
      <x:c r="W8" s="40" t="str"/>
    </x:row>
    <x:row r="9" ht="88" customHeight="1">
      <x:c r="A9" s="28" t="str">
        <x:v>T004</x:v>
      </x:c>
      <x:c r="B9" s="27" t="str">
        <x:v>面对来源冲突进行事实判断</x:v>
      </x:c>
      <x:c r="C9" s="27" t="str">
        <x:v>围绕一个指定竞品功能，收集官方资料与两条可信第三方资料。列出一致信息、冲突信息和无法验证信息；给出来源优先级理由，不把第三方观点当作官方事实。</x:v>
      </x:c>
      <x:c r="D9" s="27" t="str">
        <x:v>证据对照表、冲突处理说明</x:v>
      </x:c>
      <x:c r="E9" s="27" t="str">
        <x:v>来源质量、事实观点混淆、错误裁决</x:v>
      </x:c>
      <x:c r="F9" s="44" t="str">
        <x:v>未执行</x:v>
      </x:c>
      <x:c r="G9" s="44"/>
      <x:c r="H9" s="44"/>
      <x:c r="I9" s="44"/>
      <x:c r="J9" s="44"/>
      <x:c r="K9" s="44"/>
      <x:c r="L9" s="44" t="n">
        <x:v>0</x:v>
      </x:c>
      <x:c r="M9" s="44" t="str">
        <x:v>待复核</x:v>
      </x:c>
      <x:c r="N9" s="44"/>
      <x:c r="O9" s="44"/>
      <x:c r="P9" s="45" t="str">
        <x:f>IF(COUNT(N9:O9)=0,"",SUM(N9:O9))</x:f>
      </x:c>
      <x:c r="Q9" s="44"/>
      <x:c r="R9" s="46" t="str">
        <x:f>IF(F9&lt;&gt;"已执行","",N9*'概览'!$B$9/1000000+O9*'概览'!$C$9/1000000)</x:f>
      </x:c>
      <x:c r="S9" s="47" t="str">
        <x:f>IF(COUNT(G9:K9)&lt;5,"",(G9*'评分标准'!$B$4+H9*'评分标准'!$B$5+I9*'评分标准'!$B$6+J9*'评分标准'!$B$7+K9*'评分标准'!$B$8)/5*100)</x:f>
      </x:c>
      <x:c r="T9" s="45" t="str">
        <x:f>IF(F9&lt;&gt;"已执行","待执行",IF(L9&gt;0,"失败",IF(M9="失败","失败",IF(M9="需修改","需改进",IF(M9&lt;&gt;"通过","待人工复核",IF(S9&gt;=80,"通过","需改进"))))))</x:f>
        <x:v>待执行</x:v>
      </x:c>
      <x:c r="U9" s="40" t="str"/>
      <x:c r="V9" s="40" t="str"/>
      <x:c r="W9" s="40" t="str"/>
    </x:row>
    <x:row r="10" ht="88" customHeight="1">
      <x:c r="A10" s="28" t="str">
        <x:v>T005</x:v>
      </x:c>
      <x:c r="B10" s="27" t="str">
        <x:v>向产品负责人提交机会建议</x:v>
      </x:c>
      <x:c r="C10" s="27" t="str">
        <x:v>基于 T001 至 T004 的已核验材料，为一家资源有限的 AI 产品团队撰写不超过 1200 字的决策备忘录。必须分开标注事实、推断和建议，并附人工复核清单；不得引入题集之外的新事实。</x:v>
      </x:c>
      <x:c r="D10" s="27" t="str">
        <x:v>决策摘要、机会假设、复核清单</x:v>
      </x:c>
      <x:c r="E10" s="27" t="str">
        <x:v>越界推断、建议缺证据、遗漏不确定性</x:v>
      </x:c>
      <x:c r="F10" s="44" t="str">
        <x:v>未执行</x:v>
      </x:c>
      <x:c r="G10" s="44"/>
      <x:c r="H10" s="44"/>
      <x:c r="I10" s="44"/>
      <x:c r="J10" s="44"/>
      <x:c r="K10" s="44"/>
      <x:c r="L10" s="44" t="n">
        <x:v>0</x:v>
      </x:c>
      <x:c r="M10" s="44" t="str">
        <x:v>待复核</x:v>
      </x:c>
      <x:c r="N10" s="44"/>
      <x:c r="O10" s="44"/>
      <x:c r="P10" s="45" t="str">
        <x:f>IF(COUNT(N10:O10)=0,"",SUM(N10:O10))</x:f>
      </x:c>
      <x:c r="Q10" s="44"/>
      <x:c r="R10" s="46" t="str">
        <x:f>IF(F10&lt;&gt;"已执行","",N10*'概览'!$B$9/1000000+O10*'概览'!$C$9/1000000)</x:f>
      </x:c>
      <x:c r="S10" s="47" t="str">
        <x:f>IF(COUNT(G10:K10)&lt;5,"",(G10*'评分标准'!$B$4+H10*'评分标准'!$B$5+I10*'评分标准'!$B$6+J10*'评分标准'!$B$7+K10*'评分标准'!$B$8)/5*100)</x:f>
      </x:c>
      <x:c r="T10" s="45" t="str">
        <x:f>IF(F10&lt;&gt;"已执行","待执行",IF(L10&gt;0,"失败",IF(M10="失败","失败",IF(M10="需修改","需改进",IF(M10&lt;&gt;"通过","待人工复核",IF(S10&gt;=80,"通过","需改进"))))))</x:f>
        <x:v>待执行</x:v>
      </x:c>
      <x:c r="U10" s="40" t="str"/>
      <x:c r="V10" s="40" t="str"/>
      <x:c r="W10" s="40" t="str"/>
    </x:row>
    <x:row r="11" ht="150" customHeight="1">
      <x:c r="A11" s="28" t="str">
        <x:v>T001-v2</x:v>
      </x:c>
      <x:c r="B11" s="27" t="str">
        <x:v>质量门禁修正后的回归评测</x:v>
      </x:c>
      <x:c r="C11" s="27" t="str">
        <x:v>按 RESEARCH_QUALITY_GATES.md 的 T001 v2 指令，限制为 2 次搜索、3 个唯一官方页面和 800 个总字符；当前文档优先，历史信息标时，覆盖限制与未知。</x:v>
      </x:c>
      <x:c r="D11" s="27" t="str">
        <x:v>当前事实、历史信息、主要限制、待人工复核项</x:v>
      </x:c>
      <x:c r="E11" s="27" t="str">
        <x:v>历史信息冒充当前、限制遗漏、无依据未知项</x:v>
      </x:c>
      <x:c r="F11" s="62" t="str">
        <x:v>已执行</x:v>
      </x:c>
      <x:c r="G11" s="62" t="n">
        <x:v>4</x:v>
      </x:c>
      <x:c r="H11" s="62" t="n">
        <x:v>4</x:v>
      </x:c>
      <x:c r="I11" s="62" t="n">
        <x:v>3</x:v>
      </x:c>
      <x:c r="J11" s="62" t="n">
        <x:v>5</x:v>
      </x:c>
      <x:c r="K11" s="62" t="n">
        <x:v>4</x:v>
      </x:c>
      <x:c r="L11" s="62" t="n">
        <x:v>0</x:v>
      </x:c>
      <x:c r="M11" s="62" t="str">
        <x:v>需修改</x:v>
      </x:c>
      <x:c r="N11" s="62" t="n">
        <x:v>32400</x:v>
      </x:c>
      <x:c r="O11" s="62" t="n">
        <x:v>900</x:v>
      </x:c>
      <x:c r="P11" s="63" t="n">
        <x:f>IF(COUNT(N11:O11)=0,"",SUM(N11:O11))</x:f>
        <x:v>33300</x:v>
      </x:c>
      <x:c r="Q11" s="62" t="n">
        <x:v>10</x:v>
      </x:c>
      <x:c r="R11" s="64" t="n">
        <x:f>IF(F11&lt;&gt;"已执行","",N11*'概览'!$B$9/1000000+O11*'概览'!$C$9/1000000)</x:f>
        <x:v>0.072</x:v>
      </x:c>
      <x:c r="S11" s="65" t="n">
        <x:f>IF(COUNT(G11:K11)&lt;5,"",(G11*'评分标准'!$B$4+H11*'评分标准'!$B$5+I11*'评分标准'!$B$6+J11*'评分标准'!$B$7+K11*'评分标准'!$B$8)/5*100)</x:f>
        <x:v>79</x:v>
      </x:c>
      <x:c r="T11" s="63" t="str">
        <x:f>IF(F11&lt;&gt;"已执行","待执行",IF(L11&gt;0,"失败",IF(M11="失败","失败",IF(M11="需修改","需改进",IF(M11&lt;&gt;"通过","待人工复核",IF(S11&gt;=80,"通过","需改进"))))))</x:f>
        <x:v>需改进</x:v>
      </x:c>
      <x:c r="U11" s="58" t="str">
        <x:v>历史信息已正确分区，当前用量、可用性和权限限制有直接引用；但仍遗漏发布页明确的幻觉、错误推断、权威来源识别和置信度校准问题；“Pro $200 暂停注册”无所读官方页面支持。</x:v>
      </x:c>
      <x:c r="V11" s="58" t="str">
        <x:v>http://localhost:2026/workspace/chats/a58c5f86-f156-476d-af45-24c12a78c8c5
https://help.openai.com/en/articles/10500283-deep-research-in-chatgpt
https://help.openai.com/en/articles/6825453-chatgpt-release-notes
https://openai.com/index/introducing-deep-research/</x:v>
      </x:c>
      <x:c r="W11" s="58" t="str">
        <x:v>Codex 辅助人工复核，2026-09-19。2 次搜索、3 次查看、3 个唯一官方页面；未见第三方来源、子智能体或文件生成。主回复输入约 32.4K、输出 900；线程顶部输入 32.7K、输出 909、总量 33.6K。延迟约 10 秒，正文 575 个总字符。较 v1 得分增加 12，主回复成本约下降 22%，正文长度约下降 55%。</x:v>
      </x:c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</x:sheetData>
  <x:mergeCells>
    <x:mergeCell ref="A1:W1"/>
    <x:mergeCell ref="A2:W2"/>
  </x:mergeCells>
  <x:conditionalFormatting sqref="S6:S10">
    <x:cfRule type="colorScale" priority="1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T6:T10">
    <x:cfRule type="containsText" dxfId="0" priority="2" operator="containsText" text="通过"/>
    <x:cfRule type="containsText" dxfId="1" priority="3" operator="containsText" text="失败"/>
    <x:cfRule type="containsText" dxfId="2" priority="4" operator="containsText" text="需改进"/>
  </x:conditionalFormatting>
  <x:conditionalFormatting sqref="S11:S11">
    <x:cfRule type="colorScale" priority="5">
      <x:colorScale>
        <x:cfvo type="min"/>
        <x:cfvo type="percentile" val="50"/>
        <x:cfvo type="max"/>
        <x:color rgb="FFF8D7DA"/>
        <x:color rgb="FFFFF3CD"/>
        <x:color rgb="FFD1E7DD"/>
      </x:colorScale>
    </x:cfRule>
  </x:conditionalFormatting>
  <x:conditionalFormatting sqref="T11:T11">
    <x:cfRule type="containsText" dxfId="3" priority="6" operator="containsText" text="通过"/>
    <x:cfRule type="containsText" dxfId="4" priority="7" operator="containsText" text="失败"/>
    <x:cfRule type="containsText" dxfId="5" priority="8" operator="containsText" text="需改进"/>
  </x:conditionalFormatting>
  <x:dataValidations count="12">
    <x:dataValidation type="list" sqref="F6:F10">
      <x:formula1>"未执行,已执行"</x:formula1>
    </x:dataValidation>
    <x:dataValidation type="whole" operator="between" sqref="G6:K10">
      <x:formula1>0</x:formula1>
      <x:formula2>5</x:formula2>
    </x:dataValidation>
    <x:dataValidation type="whole" operator="between" sqref="L6:L10">
      <x:formula1>0</x:formula1>
      <x:formula2>100</x:formula2>
    </x:dataValidation>
    <x:dataValidation type="list" sqref="M6:M10">
      <x:formula1>"待复核,通过,需修改,失败"</x:formula1>
    </x:dataValidation>
    <x:dataValidation type="whole" operator="greaterThanOrEqual" sqref="N6:O10">
      <x:formula1>0</x:formula1>
    </x:dataValidation>
    <x:dataValidation type="decimal" operator="greaterThanOrEqual" sqref="Q6:Q10">
      <x:formula1>0</x:formula1>
    </x:dataValidation>
    <x:dataValidation type="list" sqref="F11">
      <x:formula1>"未执行,已执行"</x:formula1>
    </x:dataValidation>
    <x:dataValidation type="whole" operator="between" sqref="G11:K11">
      <x:formula1>0</x:formula1>
      <x:formula2>5</x:formula2>
    </x:dataValidation>
    <x:dataValidation type="whole" operator="between" sqref="L11">
      <x:formula1>0</x:formula1>
      <x:formula2>100</x:formula2>
    </x:dataValidation>
    <x:dataValidation type="list" sqref="M11">
      <x:formula1>"待复核,通过,需修改,失败"</x:formula1>
    </x:dataValidation>
    <x:dataValidation type="whole" operator="greaterThanOrEqual" sqref="N11:O11">
      <x:formula1>0</x:formula1>
    </x:dataValidation>
    <x:dataValidation type="decimal" operator="greaterThanOrEqual" sqref="Q11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c2dc99f63004fc9"/>
  </x:tableParts>
</x:worksheet>
</file>

<file path=xl/worksheets/sheet3.xml><?xml version="1.0" encoding="utf-8"?>
<x:worksheet xmlns:x="http://schemas.openxmlformats.org/spreadsheetml/2006/main">
  <x:sheetPr>
    <x:tabColor rgb="FF4B7F52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</x:cols>
  <x:sheetData>
    <x:row r="1" ht="32" customHeight="1">
      <x:c r="A1" s="30" t="str">
        <x:v>评分标准与人工复核规则</x:v>
      </x:c>
      <x:c r="B1" s="30"/>
      <x:c r="C1" s="30"/>
      <x:c r="D1" s="30"/>
      <x:c r="E1" s="30"/>
      <x:c r="F1" s="30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7" t="str">
        <x:v>总分 100；0—5 分由人工依据证据评分。当前状态仅由历史资料支持、关键引用不支持结论或高风险无依据结论，均不得通过。</x:v>
      </x:c>
      <x:c r="B2" s="7"/>
      <x:c r="C2" s="7"/>
      <x:c r="D2" s="7"/>
      <x:c r="E2" s="7"/>
      <x:c r="F2" s="7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48" t="str">
        <x:v>维度</x:v>
      </x:c>
      <x:c r="B3" s="48" t="str">
        <x:v>权重</x:v>
      </x:c>
      <x:c r="C3" s="48" t="str">
        <x:v>5分标准</x:v>
      </x:c>
      <x:c r="D3" s="48" t="str">
        <x:v>3分标准</x:v>
      </x:c>
      <x:c r="E3" s="48" t="str">
        <x:v>1分标准</x:v>
      </x:c>
      <x:c r="F3" s="48" t="str">
        <x:v>复核重点</x:v>
      </x:c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 ht="64" customHeight="1">
      <x:c r="A4" s="27" t="str">
        <x:v>来源正确性</x:v>
      </x:c>
      <x:c r="B4" s="49" t="n">
        <x:v>0.3</x:v>
      </x:c>
      <x:c r="C4" s="27" t="str">
        <x:v>当前事实由当前官方文档支持；历史资料标注时间；来源可访问</x:v>
      </x:c>
      <x:c r="D4" s="27" t="str">
        <x:v>少量一般事实时效或表述需修正，不影响主要结论</x:v>
      </x:c>
      <x:c r="E4" s="27" t="str">
        <x:v>关键事实错误、历史信息冒充当前状态或来源与结论不符</x:v>
      </x:c>
      <x:c r="F4" s="27" t="str">
        <x:v>先查当前文档，再核历史页面的时间语境</x:v>
      </x:c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64" customHeight="1">
      <x:c r="A5" s="27" t="str">
        <x:v>引用覆盖</x:v>
      </x:c>
      <x:c r="B5" s="49" t="n">
        <x:v>0.2</x:v>
      </x:c>
      <x:c r="C5" s="27" t="str">
        <x:v>关键结论 100% 有直接支持链接，一般事实覆盖率不低于 90%</x:v>
      </x:c>
      <x:c r="D5" s="27" t="str">
        <x:v>主要结论有来源，但仍有定位或支持关系缺口</x:v>
      </x:c>
      <x:c r="E5" s="27" t="str">
        <x:v>大量结论无来源，或链接存在但不支持对应结论</x:v>
      </x:c>
      <x:c r="F5" s="27" t="str">
        <x:v>逐条验证结论与引用内容的一致性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</x:row>
    <x:row r="6" ht="64" customHeight="1">
      <x:c r="A6" s="27" t="str">
        <x:v>分析完整性</x:v>
      </x:c>
      <x:c r="B6" s="49" t="n">
        <x:v>0.2</x:v>
      </x:c>
      <x:c r="C6" s="27" t="str">
        <x:v>覆盖能力、范围、限制/失败模式、使用规则和日期，并标注冲突与未知</x:v>
      </x:c>
      <x:c r="D6" s="27" t="str">
        <x:v>覆盖主要维度，但遗漏部分限制、量化信息或冲突</x:v>
      </x:c>
      <x:c r="E6" s="27" t="str">
        <x:v>只写能力优点，结构缺失，无法支持产品判断</x:v>
      </x:c>
      <x:c r="F6" s="27" t="str">
        <x:v>主动检查 limitations、usage、availability、updated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</x:row>
    <x:row r="7" ht="64" customHeight="1">
      <x:c r="A7" s="27" t="str">
        <x:v>指令遵循</x:v>
      </x:c>
      <x:c r="B7" s="49" t="n">
        <x:v>0.15</x:v>
      </x:c>
      <x:c r="C7" s="27" t="str">
        <x:v>来源、搜索/页面上限、工具、总字符数和输出结构全部满足</x:v>
      </x:c>
      <x:c r="D7" s="27" t="str">
        <x:v>存在轻微偏离，但输出仍可复核使用</x:v>
      </x:c>
      <x:c r="E7" s="27" t="str">
        <x:v>使用禁止来源、越界工具、超出关键范围或自行扩张任务</x:v>
      </x:c>
      <x:c r="F7" s="27" t="str">
        <x:v>长度按总字符计算，不只统计汉字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</x:row>
    <x:row r="8" ht="64" customHeight="1">
      <x:c r="A8" s="27" t="str">
        <x:v>产品可用性</x:v>
      </x:c>
      <x:c r="B8" s="49" t="n">
        <x:v>0.15</x:v>
      </x:c>
      <x:c r="C8" s="27" t="str">
        <x:v>事实、历史信息、推断、建议和未知清晰分开，可直接支持人工决策</x:v>
      </x:c>
      <x:c r="D8" s="27" t="str">
        <x:v>需要明显编辑后才能用于评审</x:v>
      </x:c>
      <x:c r="E8" s="27" t="str">
        <x:v>信息堆砌或混淆事实与判断，无法形成行动结论</x:v>
      </x:c>
      <x:c r="F8" s="27" t="str">
        <x:v>复核结论必须明确为通过、需修改或失败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</x:row>
    <x:row r="10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</x:row>
    <x:row r="11">
      <x:c r="A11" s="20" t="str">
        <x:v>发布闸门</x:v>
      </x:c>
      <x:c r="B11" s="20" t="str">
        <x:v>条件</x:v>
      </x:c>
      <x:c r="C11" s="20" t="str">
        <x:v>处理</x:v>
      </x:c>
      <x:c r="D11" s="20" t="str">
        <x:v>说明</x:v>
      </x:c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</x:row>
    <x:row r="12" ht="44" customHeight="1">
      <x:c r="A12" s="27" t="str">
        <x:v>通过</x:v>
      </x:c>
      <x:c r="B12" s="27" t="str">
        <x:v>得分≥80、人工复核通过、高风险无依据结论=0</x:v>
      </x:c>
      <x:c r="C12" s="27" t="str">
        <x:v>进入下一阶段</x:v>
      </x:c>
      <x:c r="D12" s="27" t="str">
        <x:v>通过不等于生产发布</x:v>
      </x:c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</x:row>
    <x:row r="13" ht="44" customHeight="1">
      <x:c r="A13" s="27" t="str">
        <x:v>需改进</x:v>
      </x:c>
      <x:c r="B13" s="27" t="str">
        <x:v>得分&lt;80或人工要求修改</x:v>
      </x:c>
      <x:c r="C13" s="27" t="str">
        <x:v>登记 Badcase 后重测</x:v>
      </x:c>
      <x:c r="D13" s="27" t="str">
        <x:v>保留原始结果作为证据</x:v>
      </x:c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</x:row>
    <x:row r="14" ht="44" customHeight="1">
      <x:c r="A14" s="27" t="str">
        <x:v>待人工复核</x:v>
      </x:c>
      <x:c r="B14" s="27" t="str">
        <x:v>模型完成但人工尚未裁定</x:v>
      </x:c>
      <x:c r="C14" s="27" t="str">
        <x:v>不得对外使用</x:v>
      </x:c>
      <x:c r="D14" s="27" t="str">
        <x:v>自动评分不能替代人工</x:v>
      </x:c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</x:row>
    <x:row r="15" ht="44" customHeight="1">
      <x:c r="A15" s="27" t="str">
        <x:v>失败</x:v>
      </x:c>
      <x:c r="B15" s="27" t="str">
        <x:v>高风险无依据结论&gt;0或人工判定失败</x:v>
      </x:c>
      <x:c r="C15" s="27" t="str">
        <x:v>停止扩展并查明原因</x:v>
      </x:c>
      <x:c r="D15" s="27" t="str">
        <x:v>不得通过改分掩盖失败</x:v>
      </x:c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</x:row>
    <x:row r="18">
      <x:c r="A18" s="20" t="str">
        <x:v>分数</x:v>
      </x:c>
      <x:c r="B18" s="20" t="str">
        <x:v>含义</x:v>
      </x:c>
      <x:c r="C18" s="20" t="str">
        <x:v>使用方式</x:v>
      </x:c>
      <x:c r="D18" s="20" t="str">
        <x:v>真实性边界</x:v>
      </x:c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</x:row>
    <x:row r="19">
      <x:c r="A19" s="26" t="n">
        <x:v>5</x:v>
      </x:c>
      <x:c r="B19" s="26" t="str">
        <x:v>完全满足</x:v>
      </x:c>
      <x:c r="C19" s="26" t="str">
        <x:v>可作为正向样本</x:v>
      </x:c>
      <x:c r="D19" s="26" t="str">
        <x:v>仍需保存证据</x:v>
      </x:c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</x:row>
    <x:row r="20">
      <x:c r="A20" s="26" t="n">
        <x:v>4</x:v>
      </x:c>
      <x:c r="B20" s="26" t="str">
        <x:v>基本满足</x:v>
      </x:c>
      <x:c r="C20" s="26" t="str">
        <x:v>少量编辑</x:v>
      </x:c>
      <x:c r="D20" s="26" t="str">
        <x:v>不能省略复核</x:v>
      </x:c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</x:row>
    <x:row r="21">
      <x:c r="A21" s="26" t="n">
        <x:v>3</x:v>
      </x:c>
      <x:c r="B21" s="26" t="str">
        <x:v>部分满足</x:v>
      </x:c>
      <x:c r="C21" s="26" t="str">
        <x:v>需要明显修改</x:v>
      </x:c>
      <x:c r="D21" s="26" t="str">
        <x:v>不可声称已通过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</x:row>
    <x:row r="22">
      <x:c r="A22" s="26" t="n">
        <x:v>2</x:v>
      </x:c>
      <x:c r="B22" s="26" t="str">
        <x:v>主要缺陷</x:v>
      </x:c>
      <x:c r="C22" s="26" t="str">
        <x:v>登记 Badcase</x:v>
      </x:c>
      <x:c r="D22" s="26" t="str">
        <x:v>不可对外使用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</x:row>
    <x:row r="23">
      <x:c r="A23" s="26" t="n">
        <x:v>1</x:v>
      </x:c>
      <x:c r="B23" s="26" t="str">
        <x:v>严重缺陷</x:v>
      </x:c>
      <x:c r="C23" s="26" t="str">
        <x:v>定位原因后重做</x:v>
      </x:c>
      <x:c r="D23" s="26" t="str">
        <x:v>不可隐藏失败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</x:row>
    <x:row r="24">
      <x:c r="A24" s="26" t="n">
        <x:v>0</x:v>
      </x:c>
      <x:c r="B24" s="26" t="str">
        <x:v>未完成或完全错误</x:v>
      </x:c>
      <x:c r="C24" s="26" t="str">
        <x:v>停止并检查前置条件</x:v>
      </x:c>
      <x:c r="D24" s="26" t="str">
        <x:v>不是有效产出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</x:row>
    <x:row r="27" ht="30" customHeight="1">
      <x:c r="A27" s="52" t="str">
        <x:v>研究质量门禁 v1.1</x:v>
      </x:c>
      <x:c r="B27" s="52"/>
      <x:c r="C27" s="52"/>
      <x:c r="D27" s="52"/>
      <x:c r="E27" s="52"/>
      <x:c r="F27" s="52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</x:row>
    <x:row r="28">
      <x:c r="A28" s="57" t="str">
        <x:v>编号</x:v>
      </x:c>
      <x:c r="B28" s="57" t="str">
        <x:v>门禁</x:v>
      </x:c>
      <x:c r="C28" s="57" t="str">
        <x:v>通过条件</x:v>
      </x:c>
      <x:c r="D28" s="57" t="str">
        <x:v>失败示例</x:v>
      </x:c>
      <x:c r="E28" s="57" t="str">
        <x:v>处理</x:v>
      </x:c>
      <x:c r="F28" s="57" t="str">
        <x:v>人工复核重点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</x:row>
    <x:row r="29" ht="62" customHeight="1">
      <x:c r="A29" s="28" t="str">
        <x:v>QG-01</x:v>
      </x:c>
      <x:c r="B29" s="27" t="str">
        <x:v>当前性</x:v>
      </x:c>
      <x:c r="C29" s="27" t="str">
        <x:v>当前状态优先当前官方文档；历史信息标注日期或“发布时”</x:v>
      </x:c>
      <x:c r="D29" s="27" t="str">
        <x:v>把发布时模型写成当前模型</x:v>
      </x:c>
      <x:c r="E29" s="27" t="str">
        <x:v>需修改</x:v>
      </x:c>
      <x:c r="F29" s="27" t="str">
        <x:v>核对页面类型、发布日期和访问日期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</x:row>
    <x:row r="30" ht="62" customHeight="1">
      <x:c r="A30" s="28" t="str">
        <x:v>QG-02</x:v>
      </x:c>
      <x:c r="B30" s="27" t="str">
        <x:v>证据一致性</x:v>
      </x:c>
      <x:c r="C30" s="27" t="str">
        <x:v>每条关键结论都有直接支持它的证据</x:v>
      </x:c>
      <x:c r="D30" s="27" t="str">
        <x:v>链接存在但页面不支持结论</x:v>
      </x:c>
      <x:c r="E30" s="27" t="str">
        <x:v>需修改或失败</x:v>
      </x:c>
      <x:c r="F30" s="27" t="str">
        <x:v>逐条对照结论与原文含义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</x:row>
    <x:row r="31" ht="62" customHeight="1">
      <x:c r="A31" s="28" t="str">
        <x:v>QG-03</x:v>
      </x:c>
      <x:c r="B31" s="27" t="str">
        <x:v>引用覆盖</x:v>
      </x:c>
      <x:c r="C31" s="27" t="str">
        <x:v>关键结论覆盖率 100%，一般事实不低于 90%</x:v>
      </x:c>
      <x:c r="D31" s="27" t="str">
        <x:v>核心能力或限制没有来源</x:v>
      </x:c>
      <x:c r="E31" s="27" t="str">
        <x:v>需修改</x:v>
      </x:c>
      <x:c r="F31" s="27" t="str">
        <x:v>先检查关键结论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</x:row>
    <x:row r="32" ht="62" customHeight="1">
      <x:c r="A32" s="28" t="str">
        <x:v>QG-04</x:v>
      </x:c>
      <x:c r="B32" s="27" t="str">
        <x:v>限制完整性</x:v>
      </x:c>
      <x:c r="C32" s="27" t="str">
        <x:v>覆盖限制、失败模式、额度、可用性和量化评测</x:v>
      </x:c>
      <x:c r="D32" s="27" t="str">
        <x:v>只写优点，遗漏幻觉或错误推断</x:v>
      </x:c>
      <x:c r="E32" s="27" t="str">
        <x:v>需修改</x:v>
      </x:c>
      <x:c r="F32" s="27" t="str">
        <x:v>主动寻找不利信息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</x:row>
    <x:row r="33" ht="62" customHeight="1">
      <x:c r="A33" s="28" t="str">
        <x:v>QG-05</x:v>
      </x:c>
      <x:c r="B33" s="27" t="str">
        <x:v>冲突与未知</x:v>
      </x:c>
      <x:c r="C33" s="27" t="str">
        <x:v>冲突并列；无法确认写未知，不自行补全</x:v>
      </x:c>
      <x:c r="D33" s="27" t="str">
        <x:v>擅自裁决冲突或把未找到写成不存在</x:v>
      </x:c>
      <x:c r="E33" s="27" t="str">
        <x:v>需修改</x:v>
      </x:c>
      <x:c r="F33" s="27" t="str">
        <x:v>检查否定性结论的证据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</x:row>
    <x:row r="34" ht="62" customHeight="1">
      <x:c r="A34" s="28" t="str">
        <x:v>QG-06</x:v>
      </x:c>
      <x:c r="B34" s="27" t="str">
        <x:v>范围与成本</x:v>
      </x:c>
      <x:c r="C34" s="27" t="str">
        <x:v>满足搜索、页面、工具、时间和总字符数限制</x:v>
      </x:c>
      <x:c r="D34" s="27" t="str">
        <x:v>无限搜索、启用子智能体或超长输出</x:v>
      </x:c>
      <x:c r="E34" s="27" t="str">
        <x:v>停止并复盘</x:v>
      </x:c>
      <x:c r="F34" s="27" t="str">
        <x:v>记录实际 Token、延迟和费用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</x:row>
    <x:row r="35" ht="62" customHeight="1">
      <x:c r="A35" s="28" t="str">
        <x:v>QG-07</x:v>
      </x:c>
      <x:c r="B35" s="27" t="str">
        <x:v>可审计性</x:v>
      </x:c>
      <x:c r="C35" s="27" t="str">
        <x:v>保存访问日期、模型、Token、费用、证据路径和人工结论</x:v>
      </x:c>
      <x:c r="D35" s="27" t="str">
        <x:v>只有答案，无法复盘</x:v>
      </x:c>
      <x:c r="E35" s="27" t="str">
        <x:v>不得进入下一阶段</x:v>
      </x:c>
      <x:c r="F35" s="27" t="str">
        <x:v>证据记录完整且可打开</x:v>
      </x:c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</x:row>
  </x:sheetData>
  <x:mergeCells>
    <x:mergeCell ref="A1:F1"/>
    <x:mergeCell ref="A2:F2"/>
    <x:mergeCell ref="A27:F27"/>
  </x:mergeCells>
  <x:pageMargins left="0.7" right="0.7" top="0.75" bottom="0.75" header="0.3" footer="0.3"/>
</x:worksheet>
</file>